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ing1_RawData" sheetId="1" state="visible" r:id="rId3"/>
    <sheet name="Threshold_Sensitivity" sheetId="2" state="visible" r:id="rId4"/>
    <sheet name="Statistical_Tests" sheetId="3" state="visible" r:id="rId5"/>
    <sheet name="Pipeline_Corrections" sheetId="4" state="visible" r:id="rId6"/>
    <sheet name="Production_K" sheetId="5" state="visible" r:id="rId7"/>
    <sheet name="Pseudoknot_Audit" sheetId="6" state="visible" r:id="rId8"/>
    <sheet name="Cohort_Composi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<sst xmlns="http://schemas.openxmlformats.org/spreadsheetml/2006/main" count="251" uniqueCount="143">
  <si>
    <t xml:space="preserve">Finding 1 -- raw collective-coordinate signal-to-floor values, all 9 analyzable primary-cohort targets</t>
  </si>
  <si>
    <t xml:space="preserve">Threshold for 'clears floor' is signal/floor ratio &gt; 1.0 (see Threshold_Sensitivity sheet for sensitivity to this choice).</t>
  </si>
  <si>
    <t xml:space="preserve">Target</t>
  </si>
  <si>
    <t xml:space="preserve">Stem-pair index</t>
  </si>
  <si>
    <t xml:space="preserve">Distance signal/floor</t>
  </si>
  <si>
    <t xml:space="preserve">Angle signal/floor</t>
  </si>
  <si>
    <t xml:space="preserve">Distance clears (&gt;1.0)</t>
  </si>
  <si>
    <t xml:space="preserve">Angle clears (&gt;1.0)</t>
  </si>
  <si>
    <t xml:space="preserve">2MIY</t>
  </si>
  <si>
    <t xml:space="preserve">4RZD</t>
  </si>
  <si>
    <t xml:space="preserve">5KH8</t>
  </si>
  <si>
    <t xml:space="preserve">7KD1</t>
  </si>
  <si>
    <t xml:space="preserve">5E54</t>
  </si>
  <si>
    <t xml:space="preserve">T02</t>
  </si>
  <si>
    <t xml:space="preserve">T06</t>
  </si>
  <si>
    <t xml:space="preserve">T07</t>
  </si>
  <si>
    <t xml:space="preserve">HCV IRES domain IIa</t>
  </si>
  <si>
    <t xml:space="preserve">Total dimensions (n)</t>
  </si>
  <si>
    <t xml:space="preserve">Distance clearing count</t>
  </si>
  <si>
    <t xml:space="preserve">Angle clearing count</t>
  </si>
  <si>
    <t xml:space="preserve">Distance clearing %</t>
  </si>
  <si>
    <t xml:space="preserve">Angle clearing %</t>
  </si>
  <si>
    <t xml:space="preserve">Sensitivity of Finding 1 to the clearing threshold (default: signal/floor &gt; 1.0)</t>
  </si>
  <si>
    <t xml:space="preserve">Every cell below is a live formula referencing Finding1_RawData; changing the threshold column recalculates everything.</t>
  </si>
  <si>
    <t xml:space="preserve">Threshold</t>
  </si>
  <si>
    <t xml:space="preserve">Discordant pairs</t>
  </si>
  <si>
    <t xml:space="preserve">Angle-only pairs</t>
  </si>
  <si>
    <t xml:space="preserve">McNemar exact p-value</t>
  </si>
  <si>
    <t xml:space="preserve">Formula for McNemar exact p-value verified against scipy.stats.binomtest to 4 decimal places (see STAGE0_TECHNICAL_LOG.md section 18) before use in this workbook.</t>
  </si>
  <si>
    <t xml:space="preserve">Statistical significance testing on Finding 1 (threshold = 1.0)</t>
  </si>
  <si>
    <t xml:space="preserve">z = 1.959964 (97.5th percentile of the standard normal, for a 95% Wilson score interval) -- standard, documented constant, not fitted.</t>
  </si>
  <si>
    <t xml:space="preserve">With T07 (n=29)</t>
  </si>
  <si>
    <t xml:space="preserve">Without T07 (n=21)</t>
  </si>
  <si>
    <t xml:space="preserve">n (total dimensions)</t>
  </si>
  <si>
    <t xml:space="preserve">Distance clearing (excl. T07)</t>
  </si>
  <si>
    <t xml:space="preserve">Angle clearing (excl. T07)</t>
  </si>
  <si>
    <t xml:space="preserve">n excl. T07</t>
  </si>
  <si>
    <t xml:space="preserve">z (95% two-sided)</t>
  </si>
  <si>
    <t xml:space="preserve">Distance 95% CI lower / upper (with T07)</t>
  </si>
  <si>
    <t xml:space="preserve">Angle 95% CI lower / upper (with T07)</t>
  </si>
  <si>
    <t xml:space="preserve">Distance 95% CI lower / upper (excl. T07)</t>
  </si>
  <si>
    <t xml:space="preserve">Angle 95% CI lower / upper (excl. T07)</t>
  </si>
  <si>
    <t xml:space="preserve">McNemar exact p-value (with T07, threshold=1.0)</t>
  </si>
  <si>
    <t xml:space="preserve">Discordant pairs (excl. T07)</t>
  </si>
  <si>
    <t xml:space="preserve">Angle-only pairs (excl. T07)</t>
  </si>
  <si>
    <t xml:space="preserve">McNemar exact p-value (excl. T07)</t>
  </si>
  <si>
    <t xml:space="preserve">Wilson interval and McNemar formulas verified against Python (scipy.stats.binomtest, statsmodels proportion_confint) to 4 decimal places -- see STAGE0_TECHNICAL_LOG.md section 18.</t>
  </si>
  <si>
    <t xml:space="preserve">Pipeline correction history -- cumulative effect on the fixed 5-target pilot subset</t>
  </si>
  <si>
    <t xml:space="preserve">Corrections were found and applied progressively during real debugging work, not as a designed ablation varying one factor on the full final cohort. This tracks the same 5 pilot targets (2MIY, 4RZD, 5KH8, 7KD1, and T01's representative) through each correction, in the order each defect was found.</t>
  </si>
  <si>
    <t xml:space="preserve">Version</t>
  </si>
  <si>
    <t xml:space="preserve">T01 representative</t>
  </si>
  <si>
    <t xml:space="preserve">Pseudoknot topology</t>
  </si>
  <si>
    <t xml:space="preserve">Perturbation-generation code</t>
  </si>
  <si>
    <t xml:space="preserve">Distance clearing</t>
  </si>
  <si>
    <t xml:space="preserve">Angle clearing</t>
  </si>
  <si>
    <t xml:space="preserve">Original K=50 pilot</t>
  </si>
  <si>
    <t xml:space="preserve">1Y26 (exposed)</t>
  </si>
  <si>
    <t xml:space="preserve">Uncorrected</t>
  </si>
  <si>
    <t xml:space="preserve">Uncorrected (bug present, undiscovered)</t>
  </si>
  <si>
    <t xml:space="preserve">4/11 (36%)</t>
  </si>
  <si>
    <t xml:space="preserve">6/11 (55%)</t>
  </si>
  <si>
    <t xml:space="preserve">K=100, no corrections yet</t>
  </si>
  <si>
    <t xml:space="preserve">K=100, 7KD1 topology corrected only</t>
  </si>
  <si>
    <t xml:space="preserve">7KD1 corrected</t>
  </si>
  <si>
    <t xml:space="preserve">3/13 (23%)</t>
  </si>
  <si>
    <t xml:space="preserve">6/13 (46%)</t>
  </si>
  <si>
    <t xml:space="preserve">K=100, all topology corrected</t>
  </si>
  <si>
    <t xml:space="preserve">All corrected</t>
  </si>
  <si>
    <t xml:space="preserve">3/15 (20%)</t>
  </si>
  <si>
    <t xml:space="preserve">7/15 (47%)</t>
  </si>
  <si>
    <t xml:space="preserve">K=100, correct T01 representative</t>
  </si>
  <si>
    <t xml:space="preserve">5E54 (clean)</t>
  </si>
  <si>
    <t xml:space="preserve">4/15 (27%)</t>
  </si>
  <si>
    <t xml:space="preserve">Final: perturbation-generation bug also fixed</t>
  </si>
  <si>
    <t xml:space="preserve">Corrected</t>
  </si>
  <si>
    <t xml:space="preserve">8/15 (53%)</t>
  </si>
  <si>
    <t xml:space="preserve">Final row corresponds to the 5-target subset of Finding 1's full 9-target result (Finding1_RawData sheet); the 9-target pooled figures (45%/52%) additionally include T02, T06, T07, and HCV IIa, which were not part of the original 5-target pilot cohort this correction history tracks.</t>
  </si>
  <si>
    <t xml:space="preserve">Production sample count (K), all 10 convergence-checked targets</t>
  </si>
  <si>
    <t xml:space="preserve">K=50 CV</t>
  </si>
  <si>
    <t xml:space="preserve">K where CV first &lt;10%</t>
  </si>
  <si>
    <t xml:space="preserve">Assigned production K</t>
  </si>
  <si>
    <t xml:space="preserve">Basis</t>
  </si>
  <si>
    <t xml:space="preserve">50 or below</t>
  </si>
  <si>
    <t xml:space="preserve">Comfortable at default</t>
  </si>
  <si>
    <t xml:space="preserve">Comfortable at default once topology corrected</t>
  </si>
  <si>
    <t xml:space="preserve">T09</t>
  </si>
  <si>
    <t xml:space="preserve">Comfortable at default; noise-floor calibration separately unavailable</t>
  </si>
  <si>
    <t xml:space="preserve">Comfortable at default -- lowest K=50 CV of any target checked</t>
  </si>
  <si>
    <t xml:space="preserve">Multi-modality-confirmed genuine spread</t>
  </si>
  <si>
    <t xml:space="preserve">Multi-modality-confirmed genuine spread; least clean-cut result of any target checked</t>
  </si>
  <si>
    <t xml:space="preserve">T04</t>
  </si>
  <si>
    <t xml:space="preserve">n/a</t>
  </si>
  <si>
    <t xml:space="preserve">Zero collective-coordinate dimensions -- not a convergence question</t>
  </si>
  <si>
    <t xml:space="preserve">Pseudoknot-annotation audit, all 12 targets checked with IPknot</t>
  </si>
  <si>
    <t xml:space="preserve">Crossing pairs found</t>
  </si>
  <si>
    <t xml:space="preserve">Correction applied</t>
  </si>
  <si>
    <t xml:space="preserve">1Y26</t>
  </si>
  <si>
    <t xml:space="preserve">Yes</t>
  </si>
  <si>
    <t xml:space="preserve">No -- confirmed negative</t>
  </si>
  <si>
    <t xml:space="preserve">Yes -- shares 1Y26's core</t>
  </si>
  <si>
    <t xml:space="preserve">No</t>
  </si>
  <si>
    <t xml:space="preserve">Yes -- most of any target checked</t>
  </si>
  <si>
    <t xml:space="preserve">HCV IRES domain IIa (1P5M)</t>
  </si>
  <si>
    <t xml:space="preserve">Primary cohort composition -- 14 leakage-clean, Tier 1-2 targets</t>
  </si>
  <si>
    <t xml:space="preserve">Family</t>
  </si>
  <si>
    <t xml:space="preserve">Representative PDB ID</t>
  </si>
  <si>
    <t xml:space="preserve">Contributes to Finding 1?</t>
  </si>
  <si>
    <t xml:space="preserve">Reason if not</t>
  </si>
  <si>
    <t xml:space="preserve">T01</t>
  </si>
  <si>
    <t xml:space="preserve">Adenine riboswitch</t>
  </si>
  <si>
    <t xml:space="preserve">preQ1 riboswitch Class I</t>
  </si>
  <si>
    <t xml:space="preserve">2L1V</t>
  </si>
  <si>
    <t xml:space="preserve">T03</t>
  </si>
  <si>
    <t xml:space="preserve">preQ1 riboswitch Class II</t>
  </si>
  <si>
    <t xml:space="preserve">preQ1 riboswitch Class I (2nd organism)</t>
  </si>
  <si>
    <t xml:space="preserve">3Q50</t>
  </si>
  <si>
    <t xml:space="preserve">Zero collective-coordinate dimensions</t>
  </si>
  <si>
    <t xml:space="preserve">T05</t>
  </si>
  <si>
    <t xml:space="preserve">preQ1 riboswitch Class III</t>
  </si>
  <si>
    <t xml:space="preserve">HIV-1 TAR</t>
  </si>
  <si>
    <t xml:space="preserve">8THV</t>
  </si>
  <si>
    <t xml:space="preserve">TPP riboswitch</t>
  </si>
  <si>
    <t xml:space="preserve">8F4O</t>
  </si>
  <si>
    <t xml:space="preserve">Glutamine riboswitch</t>
  </si>
  <si>
    <t xml:space="preserve">5DDO</t>
  </si>
  <si>
    <t xml:space="preserve">Noise-floor calibration blocked (dense pseudoknot)</t>
  </si>
  <si>
    <t xml:space="preserve">T10</t>
  </si>
  <si>
    <t xml:space="preserve">THF riboswitch</t>
  </si>
  <si>
    <t xml:space="preserve">T11</t>
  </si>
  <si>
    <t xml:space="preserve">Fluoride riboswitch</t>
  </si>
  <si>
    <t xml:space="preserve">T15</t>
  </si>
  <si>
    <t xml:space="preserve">c-di-GMP riboswitch</t>
  </si>
  <si>
    <t xml:space="preserve">3IRW</t>
  </si>
  <si>
    <t xml:space="preserve">No clean unbound counterpart</t>
  </si>
  <si>
    <t xml:space="preserve">T17</t>
  </si>
  <si>
    <t xml:space="preserve">Cobalamin riboswitch</t>
  </si>
  <si>
    <t xml:space="preserve">8FW4 (representative)</t>
  </si>
  <si>
    <t xml:space="preserve">Real apo-to-holo transition is dimer-based</t>
  </si>
  <si>
    <t xml:space="preserve">T19</t>
  </si>
  <si>
    <t xml:space="preserve">ZTP/ZMP riboswitch</t>
  </si>
  <si>
    <t xml:space="preserve">6OD9</t>
  </si>
  <si>
    <t xml:space="preserve">HCV IIa</t>
  </si>
  <si>
    <t xml:space="preserve">1P5M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</si>
</sst>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v>1</v>
      </c>
      <c r="C5" s="4" t="n">
        <v>6.2</v>
      </c>
      <c r="D5" s="4" t="n">
        <v>15.25</v>
      </c>
      <c r="E5" s="4" t="n">
        <f aca="false">IF(C5&gt;1,1,0)</f>
        <v>1</v>
      </c>
      <c r="F5" s="4" t="n">
        <f aca="false">IF(D5&gt;1,1,0)</f>
        <v>1</v>
      </c>
    </row>
    <row r="6" customFormat="false" ht="15" hidden="false" customHeight="false" outlineLevel="0" collapsed="false">
      <c r="A6" s="4" t="s">
        <v>9</v>
      </c>
      <c r="B6" s="4" t="n">
        <v>1</v>
      </c>
      <c r="C6" s="4" t="n">
        <v>1.38</v>
      </c>
      <c r="D6" s="4" t="n">
        <v>3.88</v>
      </c>
      <c r="E6" s="4" t="n">
        <f aca="false">IF(C6&gt;1,1,0)</f>
        <v>1</v>
      </c>
      <c r="F6" s="4" t="n">
        <f aca="false">IF(D6&gt;1,1,0)</f>
        <v>1</v>
      </c>
    </row>
    <row r="7" customFormat="false" ht="15" hidden="false" customHeight="false" outlineLevel="0" collapsed="false">
      <c r="A7" s="4" t="s">
        <v>9</v>
      </c>
      <c r="B7" s="4" t="n">
        <v>2</v>
      </c>
      <c r="C7" s="4" t="n">
        <v>0.22</v>
      </c>
      <c r="D7" s="4" t="n">
        <v>0.52</v>
      </c>
      <c r="E7" s="4" t="n">
        <f aca="false">IF(C7&gt;1,1,0)</f>
        <v>0</v>
      </c>
      <c r="F7" s="4" t="n">
        <f aca="false">IF(D7&gt;1,1,0)</f>
        <v>0</v>
      </c>
    </row>
    <row r="8" customFormat="false" ht="15" hidden="false" customHeight="false" outlineLevel="0" collapsed="false">
      <c r="A8" s="4" t="s">
        <v>10</v>
      </c>
      <c r="B8" s="4" t="n">
        <v>1</v>
      </c>
      <c r="C8" s="4" t="n">
        <v>2.46</v>
      </c>
      <c r="D8" s="4" t="n">
        <v>29.86</v>
      </c>
      <c r="E8" s="4" t="n">
        <f aca="false">IF(C8&gt;1,1,0)</f>
        <v>1</v>
      </c>
      <c r="F8" s="4" t="n">
        <f aca="false">IF(D8&gt;1,1,0)</f>
        <v>1</v>
      </c>
    </row>
    <row r="9" customFormat="false" ht="15" hidden="false" customHeight="false" outlineLevel="0" collapsed="false">
      <c r="A9" s="4" t="s">
        <v>10</v>
      </c>
      <c r="B9" s="4" t="n">
        <v>2</v>
      </c>
      <c r="C9" s="4" t="n">
        <v>9.63</v>
      </c>
      <c r="D9" s="4" t="n">
        <v>23.17</v>
      </c>
      <c r="E9" s="4" t="n">
        <f aca="false">IF(C9&gt;1,1,0)</f>
        <v>1</v>
      </c>
      <c r="F9" s="4" t="n">
        <f aca="false">IF(D9&gt;1,1,0)</f>
        <v>1</v>
      </c>
    </row>
    <row r="10" customFormat="false" ht="15" hidden="false" customHeight="false" outlineLevel="0" collapsed="false">
      <c r="A10" s="4" t="s">
        <v>11</v>
      </c>
      <c r="B10" s="4" t="n">
        <v>1</v>
      </c>
      <c r="C10" s="4" t="n">
        <v>0.58</v>
      </c>
      <c r="D10" s="4" t="n">
        <v>0.66</v>
      </c>
      <c r="E10" s="4" t="n">
        <f aca="false">IF(C10&gt;1,1,0)</f>
        <v>0</v>
      </c>
      <c r="F10" s="4" t="n">
        <f aca="false">IF(D10&gt;1,1,0)</f>
        <v>0</v>
      </c>
    </row>
    <row r="11" customFormat="false" ht="15" hidden="false" customHeight="false" outlineLevel="0" collapsed="false">
      <c r="A11" s="4" t="s">
        <v>11</v>
      </c>
      <c r="B11" s="4" t="n">
        <v>2</v>
      </c>
      <c r="C11" s="4" t="n">
        <v>0.54</v>
      </c>
      <c r="D11" s="4" t="n">
        <v>0.69</v>
      </c>
      <c r="E11" s="4" t="n">
        <f aca="false">IF(C11&gt;1,1,0)</f>
        <v>0</v>
      </c>
      <c r="F11" s="4" t="n">
        <f aca="false">IF(D11&gt;1,1,0)</f>
        <v>0</v>
      </c>
    </row>
    <row r="12" customFormat="false" ht="15" hidden="false" customHeight="false" outlineLevel="0" collapsed="false">
      <c r="A12" s="4" t="s">
        <v>11</v>
      </c>
      <c r="B12" s="4" t="n">
        <v>3</v>
      </c>
      <c r="C12" s="4" t="n">
        <v>15.37</v>
      </c>
      <c r="D12" s="4" t="n">
        <v>1192.4</v>
      </c>
      <c r="E12" s="4" t="n">
        <f aca="false">IF(C12&gt;1,1,0)</f>
        <v>1</v>
      </c>
      <c r="F12" s="4" t="n">
        <f aca="false">IF(D12&gt;1,1,0)</f>
        <v>1</v>
      </c>
    </row>
    <row r="13" customFormat="false" ht="15" hidden="false" customHeight="false" outlineLevel="0" collapsed="false">
      <c r="A13" s="4" t="s">
        <v>11</v>
      </c>
      <c r="B13" s="4" t="n">
        <v>4</v>
      </c>
      <c r="C13" s="4" t="n">
        <v>0.04</v>
      </c>
      <c r="D13" s="4" t="n">
        <v>0.01</v>
      </c>
      <c r="E13" s="4" t="n">
        <f aca="false">IF(C13&gt;1,1,0)</f>
        <v>0</v>
      </c>
      <c r="F13" s="4" t="n">
        <f aca="false">IF(D13&gt;1,1,0)</f>
        <v>0</v>
      </c>
    </row>
    <row r="14" customFormat="false" ht="15" hidden="false" customHeight="false" outlineLevel="0" collapsed="false">
      <c r="A14" s="4" t="s">
        <v>11</v>
      </c>
      <c r="B14" s="4" t="n">
        <v>5</v>
      </c>
      <c r="C14" s="4" t="n">
        <v>4.78</v>
      </c>
      <c r="D14" s="4" t="n">
        <v>0.67</v>
      </c>
      <c r="E14" s="4" t="n">
        <f aca="false">IF(C14&gt;1,1,0)</f>
        <v>1</v>
      </c>
      <c r="F14" s="4" t="n">
        <f aca="false">IF(D14&gt;1,1,0)</f>
        <v>0</v>
      </c>
    </row>
    <row r="15" customFormat="false" ht="15" hidden="false" customHeight="false" outlineLevel="0" collapsed="false">
      <c r="A15" s="4" t="s">
        <v>12</v>
      </c>
      <c r="B15" s="4" t="n">
        <v>1</v>
      </c>
      <c r="C15" s="4" t="n">
        <v>0.33</v>
      </c>
      <c r="D15" s="4" t="n">
        <v>12.91</v>
      </c>
      <c r="E15" s="4" t="n">
        <f aca="false">IF(C15&gt;1,1,0)</f>
        <v>0</v>
      </c>
      <c r="F15" s="4" t="n">
        <f aca="false">IF(D15&gt;1,1,0)</f>
        <v>1</v>
      </c>
    </row>
    <row r="16" customFormat="false" ht="15" hidden="false" customHeight="false" outlineLevel="0" collapsed="false">
      <c r="A16" s="4" t="s">
        <v>12</v>
      </c>
      <c r="B16" s="4" t="n">
        <v>2</v>
      </c>
      <c r="C16" s="4" t="n">
        <v>0.38</v>
      </c>
      <c r="D16" s="4" t="n">
        <v>0.21</v>
      </c>
      <c r="E16" s="4" t="n">
        <f aca="false">IF(C16&gt;1,1,0)</f>
        <v>0</v>
      </c>
      <c r="F16" s="4" t="n">
        <f aca="false">IF(D16&gt;1,1,0)</f>
        <v>0</v>
      </c>
    </row>
    <row r="17" customFormat="false" ht="15" hidden="false" customHeight="false" outlineLevel="0" collapsed="false">
      <c r="A17" s="4" t="s">
        <v>12</v>
      </c>
      <c r="B17" s="4" t="n">
        <v>3</v>
      </c>
      <c r="C17" s="4" t="n">
        <v>0.31</v>
      </c>
      <c r="D17" s="4" t="n">
        <v>77.96</v>
      </c>
      <c r="E17" s="4" t="n">
        <f aca="false">IF(C17&gt;1,1,0)</f>
        <v>0</v>
      </c>
      <c r="F17" s="4" t="n">
        <f aca="false">IF(D17&gt;1,1,0)</f>
        <v>1</v>
      </c>
    </row>
    <row r="18" customFormat="false" ht="15" hidden="false" customHeight="false" outlineLevel="0" collapsed="false">
      <c r="A18" s="4" t="s">
        <v>12</v>
      </c>
      <c r="B18" s="4" t="n">
        <v>4</v>
      </c>
      <c r="C18" s="4" t="n">
        <v>9.78</v>
      </c>
      <c r="D18" s="4" t="n">
        <v>0.77</v>
      </c>
      <c r="E18" s="4" t="n">
        <f aca="false">IF(C18&gt;1,1,0)</f>
        <v>1</v>
      </c>
      <c r="F18" s="4" t="n">
        <f aca="false">IF(D18&gt;1,1,0)</f>
        <v>0</v>
      </c>
    </row>
    <row r="19" customFormat="false" ht="15" hidden="false" customHeight="false" outlineLevel="0" collapsed="false">
      <c r="A19" s="4" t="s">
        <v>12</v>
      </c>
      <c r="B19" s="4" t="n">
        <v>5</v>
      </c>
      <c r="C19" s="4" t="n">
        <v>0.69</v>
      </c>
      <c r="D19" s="4" t="n">
        <v>2.71</v>
      </c>
      <c r="E19" s="4" t="n">
        <f aca="false">IF(C19&gt;1,1,0)</f>
        <v>0</v>
      </c>
      <c r="F19" s="4" t="n">
        <f aca="false">IF(D19&gt;1,1,0)</f>
        <v>1</v>
      </c>
    </row>
    <row r="20" customFormat="false" ht="15" hidden="false" customHeight="false" outlineLevel="0" collapsed="false">
      <c r="A20" s="4" t="s">
        <v>13</v>
      </c>
      <c r="B20" s="4" t="n">
        <v>1</v>
      </c>
      <c r="C20" s="4" t="n">
        <v>0</v>
      </c>
      <c r="D20" s="4" t="n">
        <v>0.04</v>
      </c>
      <c r="E20" s="4" t="n">
        <f aca="false">IF(C20&gt;1,1,0)</f>
        <v>0</v>
      </c>
      <c r="F20" s="4" t="n">
        <f aca="false">IF(D20&gt;1,1,0)</f>
        <v>0</v>
      </c>
    </row>
    <row r="21" customFormat="false" ht="15" hidden="false" customHeight="false" outlineLevel="0" collapsed="false">
      <c r="A21" s="4" t="s">
        <v>14</v>
      </c>
      <c r="B21" s="4" t="n">
        <v>1</v>
      </c>
      <c r="C21" s="4" t="n">
        <v>0.14</v>
      </c>
      <c r="D21" s="4" t="n">
        <v>0.22</v>
      </c>
      <c r="E21" s="4" t="n">
        <f aca="false">IF(C21&gt;1,1,0)</f>
        <v>0</v>
      </c>
      <c r="F21" s="4" t="n">
        <f aca="false">IF(D21&gt;1,1,0)</f>
        <v>0</v>
      </c>
    </row>
    <row r="22" customFormat="false" ht="15" hidden="false" customHeight="false" outlineLevel="0" collapsed="false">
      <c r="A22" s="4" t="s">
        <v>15</v>
      </c>
      <c r="B22" s="4" t="n">
        <v>1</v>
      </c>
      <c r="C22" s="4" t="n">
        <v>0.37</v>
      </c>
      <c r="D22" s="4" t="n">
        <v>4.53</v>
      </c>
      <c r="E22" s="4" t="n">
        <f aca="false">IF(C22&gt;1,1,0)</f>
        <v>0</v>
      </c>
      <c r="F22" s="4" t="n">
        <f aca="false">IF(D22&gt;1,1,0)</f>
        <v>1</v>
      </c>
    </row>
    <row r="23" customFormat="false" ht="15" hidden="false" customHeight="false" outlineLevel="0" collapsed="false">
      <c r="A23" s="4" t="s">
        <v>15</v>
      </c>
      <c r="B23" s="4" t="n">
        <v>2</v>
      </c>
      <c r="C23" s="4" t="n">
        <v>8.32</v>
      </c>
      <c r="D23" s="4" t="n">
        <v>9.26</v>
      </c>
      <c r="E23" s="4" t="n">
        <f aca="false">IF(C23&gt;1,1,0)</f>
        <v>1</v>
      </c>
      <c r="F23" s="4" t="n">
        <f aca="false">IF(D23&gt;1,1,0)</f>
        <v>1</v>
      </c>
    </row>
    <row r="24" customFormat="false" ht="15" hidden="false" customHeight="false" outlineLevel="0" collapsed="false">
      <c r="A24" s="4" t="s">
        <v>15</v>
      </c>
      <c r="B24" s="4" t="n">
        <v>3</v>
      </c>
      <c r="C24" s="4" t="n">
        <v>2.29</v>
      </c>
      <c r="D24" s="4" t="n">
        <v>2.72</v>
      </c>
      <c r="E24" s="4" t="n">
        <f aca="false">IF(C24&gt;1,1,0)</f>
        <v>1</v>
      </c>
      <c r="F24" s="4" t="n">
        <f aca="false">IF(D24&gt;1,1,0)</f>
        <v>1</v>
      </c>
    </row>
    <row r="25" customFormat="false" ht="15" hidden="false" customHeight="false" outlineLevel="0" collapsed="false">
      <c r="A25" s="4" t="s">
        <v>15</v>
      </c>
      <c r="B25" s="4" t="n">
        <v>4</v>
      </c>
      <c r="C25" s="4" t="n">
        <v>1.64</v>
      </c>
      <c r="D25" s="4" t="n">
        <v>17.39</v>
      </c>
      <c r="E25" s="4" t="n">
        <f aca="false">IF(C25&gt;1,1,0)</f>
        <v>1</v>
      </c>
      <c r="F25" s="4" t="n">
        <f aca="false">IF(D25&gt;1,1,0)</f>
        <v>1</v>
      </c>
    </row>
    <row r="26" customFormat="false" ht="15" hidden="false" customHeight="false" outlineLevel="0" collapsed="false">
      <c r="A26" s="4" t="s">
        <v>15</v>
      </c>
      <c r="B26" s="4" t="n">
        <v>5</v>
      </c>
      <c r="C26" s="4" t="n">
        <v>0.05</v>
      </c>
      <c r="D26" s="4" t="n">
        <v>0.39</v>
      </c>
      <c r="E26" s="4" t="n">
        <f aca="false">IF(C26&gt;1,1,0)</f>
        <v>0</v>
      </c>
      <c r="F26" s="4" t="n">
        <f aca="false">IF(D26&gt;1,1,0)</f>
        <v>0</v>
      </c>
    </row>
    <row r="27" customFormat="false" ht="15" hidden="false" customHeight="false" outlineLevel="0" collapsed="false">
      <c r="A27" s="4" t="s">
        <v>15</v>
      </c>
      <c r="B27" s="4" t="n">
        <v>6</v>
      </c>
      <c r="C27" s="4" t="n">
        <v>10.06</v>
      </c>
      <c r="D27" s="4" t="n">
        <v>15.08</v>
      </c>
      <c r="E27" s="4" t="n">
        <f aca="false">IF(C27&gt;1,1,0)</f>
        <v>1</v>
      </c>
      <c r="F27" s="4" t="n">
        <f aca="false">IF(D27&gt;1,1,0)</f>
        <v>1</v>
      </c>
    </row>
    <row r="28" customFormat="false" ht="15" hidden="false" customHeight="false" outlineLevel="0" collapsed="false">
      <c r="A28" s="4" t="s">
        <v>15</v>
      </c>
      <c r="B28" s="4" t="n">
        <v>7</v>
      </c>
      <c r="C28" s="4" t="n">
        <v>69.83</v>
      </c>
      <c r="D28" s="4" t="n">
        <v>39.26</v>
      </c>
      <c r="E28" s="4" t="n">
        <f aca="false">IF(C28&gt;1,1,0)</f>
        <v>1</v>
      </c>
      <c r="F28" s="4" t="n">
        <f aca="false">IF(D28&gt;1,1,0)</f>
        <v>1</v>
      </c>
    </row>
    <row r="29" customFormat="false" ht="15" hidden="false" customHeight="false" outlineLevel="0" collapsed="false">
      <c r="A29" s="4" t="s">
        <v>15</v>
      </c>
      <c r="B29" s="4" t="n">
        <v>8</v>
      </c>
      <c r="C29" s="4" t="n">
        <v>123.97</v>
      </c>
      <c r="D29" s="4" t="n">
        <v>25.45</v>
      </c>
      <c r="E29" s="4" t="n">
        <f aca="false">IF(C29&gt;1,1,0)</f>
        <v>1</v>
      </c>
      <c r="F29" s="4" t="n">
        <f aca="false">IF(D29&gt;1,1,0)</f>
        <v>1</v>
      </c>
    </row>
    <row r="30" customFormat="false" ht="15" hidden="false" customHeight="false" outlineLevel="0" collapsed="false">
      <c r="A30" s="4" t="s">
        <v>16</v>
      </c>
      <c r="B30" s="4" t="n">
        <v>1</v>
      </c>
      <c r="C30" s="4" t="n">
        <v>0.01</v>
      </c>
      <c r="D30" s="4" t="n">
        <v>0.38</v>
      </c>
      <c r="E30" s="4" t="n">
        <f aca="false">IF(C30&gt;1,1,0)</f>
        <v>0</v>
      </c>
      <c r="F30" s="4" t="n">
        <f aca="false">IF(D30&gt;1,1,0)</f>
        <v>0</v>
      </c>
    </row>
    <row r="31" customFormat="false" ht="15" hidden="false" customHeight="false" outlineLevel="0" collapsed="false">
      <c r="A31" s="4" t="s">
        <v>16</v>
      </c>
      <c r="B31" s="4" t="n">
        <v>2</v>
      </c>
      <c r="C31" s="4" t="n">
        <v>0.04</v>
      </c>
      <c r="D31" s="4" t="n">
        <v>0.21</v>
      </c>
      <c r="E31" s="4" t="n">
        <f aca="false">IF(C31&gt;1,1,0)</f>
        <v>0</v>
      </c>
      <c r="F31" s="4" t="n">
        <f aca="false">IF(D31&gt;1,1,0)</f>
        <v>0</v>
      </c>
    </row>
    <row r="32" customFormat="false" ht="15" hidden="false" customHeight="false" outlineLevel="0" collapsed="false">
      <c r="A32" s="4" t="s">
        <v>16</v>
      </c>
      <c r="B32" s="4" t="n">
        <v>3</v>
      </c>
      <c r="C32" s="4" t="n">
        <v>0.35</v>
      </c>
      <c r="D32" s="4" t="n">
        <v>0.08</v>
      </c>
      <c r="E32" s="4" t="n">
        <f aca="false">IF(C32&gt;1,1,0)</f>
        <v>0</v>
      </c>
      <c r="F32" s="4" t="n">
        <f aca="false">IF(D32&gt;1,1,0)</f>
        <v>0</v>
      </c>
    </row>
    <row r="33" customFormat="false" ht="15" hidden="false" customHeight="false" outlineLevel="0" collapsed="false">
      <c r="A33" s="4" t="s">
        <v>16</v>
      </c>
      <c r="B33" s="4" t="n">
        <v>4</v>
      </c>
      <c r="C33" s="4" t="n">
        <v>0.01</v>
      </c>
      <c r="D33" s="4" t="n">
        <v>0.08</v>
      </c>
      <c r="E33" s="4" t="n">
        <f aca="false">IF(C33&gt;1,1,0)</f>
        <v>0</v>
      </c>
      <c r="F33" s="4" t="n">
        <f aca="false">IF(D33&gt;1,1,0)</f>
        <v>0</v>
      </c>
    </row>
    <row r="35" customFormat="false" ht="15" hidden="false" customHeight="false" outlineLevel="0" collapsed="false">
      <c r="A35" s="5" t="s">
        <v>17</v>
      </c>
      <c r="C35" s="6" t="n">
        <f aca="false">COUNT(C5:C33)</f>
        <v>29</v>
      </c>
    </row>
    <row r="36" customFormat="false" ht="15" hidden="false" customHeight="false" outlineLevel="0" collapsed="false">
      <c r="A36" s="5" t="s">
        <v>18</v>
      </c>
      <c r="E36" s="6" t="n">
        <f aca="false">SUM(E5:E33)</f>
        <v>13</v>
      </c>
    </row>
    <row r="37" customFormat="false" ht="15" hidden="false" customHeight="false" outlineLevel="0" collapsed="false">
      <c r="A37" s="5" t="s">
        <v>19</v>
      </c>
      <c r="F37" s="6" t="n">
        <f aca="false">SUM(F5:F33)</f>
        <v>15</v>
      </c>
    </row>
    <row r="38" customFormat="false" ht="15" hidden="false" customHeight="false" outlineLevel="0" collapsed="false">
      <c r="A38" s="5" t="s">
        <v>20</v>
      </c>
      <c r="E38" s="7" t="n">
        <f aca="false">E36/C35</f>
        <v>0.448275862068966</v>
      </c>
    </row>
    <row r="39" customFormat="false" ht="15" hidden="false" customHeight="false" outlineLevel="0" collapsed="false">
      <c r="A39" s="5" t="s">
        <v>21</v>
      </c>
      <c r="F39" s="7" t="n">
        <f aca="false">F37/C35</f>
        <v>0.517241379310345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23.85" hidden="false" customHeight="false" outlineLevel="0" collapsed="false">
      <c r="A4" s="3" t="s">
        <v>24</v>
      </c>
      <c r="B4" s="3" t="s">
        <v>18</v>
      </c>
      <c r="C4" s="3" t="s">
        <v>20</v>
      </c>
      <c r="D4" s="3" t="s">
        <v>19</v>
      </c>
      <c r="E4" s="3" t="s">
        <v>21</v>
      </c>
      <c r="F4" s="3" t="s">
        <v>25</v>
      </c>
      <c r="G4" s="3" t="s">
        <v>26</v>
      </c>
      <c r="H4" s="3" t="s">
        <v>27</v>
      </c>
    </row>
    <row r="5" customFormat="false" ht="15" hidden="false" customHeight="false" outlineLevel="0" collapsed="false">
      <c r="A5" s="4" t="n">
        <v>0.5</v>
      </c>
      <c r="B5" s="4" t="n">
        <f aca="false">COUNTIF(Finding1_RawData!C5:C33,"&gt;"&amp;A5)</f>
        <v>16</v>
      </c>
      <c r="C5" s="8" t="n">
        <f aca="false">B5/COUNT(Finding1_RawData!C5:C33)</f>
        <v>0.551724137931035</v>
      </c>
      <c r="D5" s="4" t="n">
        <f aca="false">COUNTIF(Finding1_RawData!D5:D33,"&gt;"&amp;A5)</f>
        <v>20</v>
      </c>
      <c r="E5" s="8" t="n">
        <f aca="false">D5/COUNT(Finding1_RawData!D5:D33)</f>
        <v>0.689655172413793</v>
      </c>
      <c r="F5" s="4" t="n">
        <f aca="false">COUNTIFS(Finding1_RawData!C5:C33,"&lt;="&amp;A5,Finding1_RawData!D5:D33,"&gt;"&amp;A5)+COUNTIFS(Finding1_RawData!C5:C33,"&gt;"&amp;A5,Finding1_RawData!D5:D33,"&lt;="&amp;A5)</f>
        <v>4</v>
      </c>
      <c r="G5" s="4" t="n">
        <f aca="false">COUNTIFS(Finding1_RawData!C5:C33,"&lt;="&amp;A5,Finding1_RawData!D5:D33,"&gt;"&amp;A5)</f>
        <v>4</v>
      </c>
      <c r="H5" s="4" t="n">
        <f aca="false">IF(F5=0,"n/a (no discordant pairs)",MIN(1,2*BINOMDIST(MIN(G5,F5-G5),F5,0.5,TRUE())))</f>
        <v>0.125</v>
      </c>
    </row>
    <row r="6" customFormat="false" ht="15" hidden="false" customHeight="false" outlineLevel="0" collapsed="false">
      <c r="A6" s="4" t="n">
        <v>1</v>
      </c>
      <c r="B6" s="4" t="n">
        <f aca="false">COUNTIF(Finding1_RawData!C5:C33,"&gt;"&amp;A6)</f>
        <v>13</v>
      </c>
      <c r="C6" s="8" t="n">
        <f aca="false">B6/COUNT(Finding1_RawData!C5:C33)</f>
        <v>0.448275862068966</v>
      </c>
      <c r="D6" s="4" t="n">
        <f aca="false">COUNTIF(Finding1_RawData!D5:D33,"&gt;"&amp;A6)</f>
        <v>15</v>
      </c>
      <c r="E6" s="8" t="n">
        <f aca="false">D6/COUNT(Finding1_RawData!D5:D33)</f>
        <v>0.517241379310345</v>
      </c>
      <c r="F6" s="4" t="n">
        <f aca="false">COUNTIFS(Finding1_RawData!C5:C33,"&lt;="&amp;A6,Finding1_RawData!D5:D33,"&gt;"&amp;A6)+COUNTIFS(Finding1_RawData!C5:C33,"&gt;"&amp;A6,Finding1_RawData!D5:D33,"&lt;="&amp;A6)</f>
        <v>6</v>
      </c>
      <c r="G6" s="4" t="n">
        <f aca="false">COUNTIFS(Finding1_RawData!C5:C33,"&lt;="&amp;A6,Finding1_RawData!D5:D33,"&gt;"&amp;A6)</f>
        <v>4</v>
      </c>
      <c r="H6" s="4" t="n">
        <f aca="false">IF(F6=0,"n/a (no discordant pairs)",MIN(1,2*BINOMDIST(MIN(G6,F6-G6),F6,0.5,TRUE())))</f>
        <v>0.6875</v>
      </c>
    </row>
    <row r="7" customFormat="false" ht="15" hidden="false" customHeight="false" outlineLevel="0" collapsed="false">
      <c r="A7" s="4" t="n">
        <v>1.5</v>
      </c>
      <c r="B7" s="4" t="n">
        <f aca="false">COUNTIF(Finding1_RawData!C5:C33,"&gt;"&amp;A7)</f>
        <v>12</v>
      </c>
      <c r="C7" s="8" t="n">
        <f aca="false">B7/COUNT(Finding1_RawData!C5:C33)</f>
        <v>0.413793103448276</v>
      </c>
      <c r="D7" s="4" t="n">
        <f aca="false">COUNTIF(Finding1_RawData!D5:D33,"&gt;"&amp;A7)</f>
        <v>15</v>
      </c>
      <c r="E7" s="8" t="n">
        <f aca="false">D7/COUNT(Finding1_RawData!D5:D33)</f>
        <v>0.517241379310345</v>
      </c>
      <c r="F7" s="4" t="n">
        <f aca="false">COUNTIFS(Finding1_RawData!C5:C33,"&lt;="&amp;A7,Finding1_RawData!D5:D33,"&gt;"&amp;A7)+COUNTIFS(Finding1_RawData!C5:C33,"&gt;"&amp;A7,Finding1_RawData!D5:D33,"&lt;="&amp;A7)</f>
        <v>7</v>
      </c>
      <c r="G7" s="4" t="n">
        <f aca="false">COUNTIFS(Finding1_RawData!C5:C33,"&lt;="&amp;A7,Finding1_RawData!D5:D33,"&gt;"&amp;A7)</f>
        <v>5</v>
      </c>
      <c r="H7" s="4" t="n">
        <f aca="false">IF(F7=0,"n/a (no discordant pairs)",MIN(1,2*BINOMDIST(MIN(G7,F7-G7),F7,0.5,TRUE())))</f>
        <v>0.453125</v>
      </c>
    </row>
    <row r="8" customFormat="false" ht="15" hidden="false" customHeight="false" outlineLevel="0" collapsed="false">
      <c r="A8" s="4" t="n">
        <v>2</v>
      </c>
      <c r="B8" s="4" t="n">
        <f aca="false">COUNTIF(Finding1_RawData!C5:C33,"&gt;"&amp;A8)</f>
        <v>11</v>
      </c>
      <c r="C8" s="8" t="n">
        <f aca="false">B8/COUNT(Finding1_RawData!C5:C33)</f>
        <v>0.379310344827586</v>
      </c>
      <c r="D8" s="4" t="n">
        <f aca="false">COUNTIF(Finding1_RawData!D5:D33,"&gt;"&amp;A8)</f>
        <v>15</v>
      </c>
      <c r="E8" s="8" t="n">
        <f aca="false">D8/COUNT(Finding1_RawData!D5:D33)</f>
        <v>0.517241379310345</v>
      </c>
      <c r="F8" s="4" t="n">
        <f aca="false">COUNTIFS(Finding1_RawData!C5:C33,"&lt;="&amp;A8,Finding1_RawData!D5:D33,"&gt;"&amp;A8)+COUNTIFS(Finding1_RawData!C5:C33,"&gt;"&amp;A8,Finding1_RawData!D5:D33,"&lt;="&amp;A8)</f>
        <v>8</v>
      </c>
      <c r="G8" s="4" t="n">
        <f aca="false">COUNTIFS(Finding1_RawData!C5:C33,"&lt;="&amp;A8,Finding1_RawData!D5:D33,"&gt;"&amp;A8)</f>
        <v>6</v>
      </c>
      <c r="H8" s="4" t="n">
        <f aca="false">IF(F8=0,"n/a (no discordant pairs)",MIN(1,2*BINOMDIST(MIN(G8,F8-G8),F8,0.5,TRUE())))</f>
        <v>0.2890625</v>
      </c>
    </row>
    <row r="9" customFormat="false" ht="15" hidden="false" customHeight="false" outlineLevel="0" collapsed="false">
      <c r="A9" s="4" t="n">
        <v>3</v>
      </c>
      <c r="B9" s="4" t="n">
        <f aca="false">COUNTIF(Finding1_RawData!C5:C33,"&gt;"&amp;A9)</f>
        <v>9</v>
      </c>
      <c r="C9" s="8" t="n">
        <f aca="false">B9/COUNT(Finding1_RawData!C5:C33)</f>
        <v>0.310344827586207</v>
      </c>
      <c r="D9" s="4" t="n">
        <f aca="false">COUNTIF(Finding1_RawData!D5:D33,"&gt;"&amp;A9)</f>
        <v>13</v>
      </c>
      <c r="E9" s="8" t="n">
        <f aca="false">D9/COUNT(Finding1_RawData!D5:D33)</f>
        <v>0.448275862068966</v>
      </c>
      <c r="F9" s="4" t="n">
        <f aca="false">COUNTIFS(Finding1_RawData!C5:C33,"&lt;="&amp;A9,Finding1_RawData!D5:D33,"&gt;"&amp;A9)+COUNTIFS(Finding1_RawData!C5:C33,"&gt;"&amp;A9,Finding1_RawData!D5:D33,"&lt;="&amp;A9)</f>
        <v>8</v>
      </c>
      <c r="G9" s="4" t="n">
        <f aca="false">COUNTIFS(Finding1_RawData!C5:C33,"&lt;="&amp;A9,Finding1_RawData!D5:D33,"&gt;"&amp;A9)</f>
        <v>6</v>
      </c>
      <c r="H9" s="4" t="n">
        <f aca="false">IF(F9=0,"n/a (no discordant pairs)",MIN(1,2*BINOMDIST(MIN(G9,F9-G9),F9,0.5,TRUE())))</f>
        <v>0.2890625</v>
      </c>
    </row>
    <row r="10" customFormat="false" ht="15" hidden="false" customHeight="false" outlineLevel="0" collapsed="false">
      <c r="A10" s="4" t="n">
        <v>5</v>
      </c>
      <c r="B10" s="4" t="n">
        <f aca="false">COUNTIF(Finding1_RawData!C5:C33,"&gt;"&amp;A10)</f>
        <v>8</v>
      </c>
      <c r="C10" s="8" t="n">
        <f aca="false">B10/COUNT(Finding1_RawData!C5:C33)</f>
        <v>0.275862068965517</v>
      </c>
      <c r="D10" s="4" t="n">
        <f aca="false">COUNTIF(Finding1_RawData!D5:D33,"&gt;"&amp;A10)</f>
        <v>11</v>
      </c>
      <c r="E10" s="8" t="n">
        <f aca="false">D10/COUNT(Finding1_RawData!D5:D33)</f>
        <v>0.379310344827586</v>
      </c>
      <c r="F10" s="4" t="n">
        <f aca="false">COUNTIFS(Finding1_RawData!C5:C33,"&lt;="&amp;A10,Finding1_RawData!D5:D33,"&gt;"&amp;A10)+COUNTIFS(Finding1_RawData!C5:C33,"&gt;"&amp;A10,Finding1_RawData!D5:D33,"&lt;="&amp;A10)</f>
        <v>5</v>
      </c>
      <c r="G10" s="4" t="n">
        <f aca="false">COUNTIFS(Finding1_RawData!C5:C33,"&lt;="&amp;A10,Finding1_RawData!D5:D33,"&gt;"&amp;A10)</f>
        <v>4</v>
      </c>
      <c r="H10" s="4" t="n">
        <f aca="false">IF(F10=0,"n/a (no discordant pairs)",MIN(1,2*BINOMDIST(MIN(G10,F10-G10),F10,0.5,TRUE())))</f>
        <v>0.375</v>
      </c>
    </row>
    <row r="12" customFormat="false" ht="15" hidden="false" customHeight="false" outlineLevel="0" collapsed="false">
      <c r="A12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/>
      <c r="B4" s="3" t="s">
        <v>31</v>
      </c>
      <c r="C4" s="3" t="s">
        <v>32</v>
      </c>
    </row>
    <row r="5" customFormat="false" ht="15" hidden="false" customHeight="false" outlineLevel="0" collapsed="false">
      <c r="A5" s="4" t="s">
        <v>18</v>
      </c>
      <c r="B5" s="4" t="n">
        <f aca="false">Finding1_RawData!E36</f>
        <v>13</v>
      </c>
      <c r="C5" s="4"/>
    </row>
    <row r="6" customFormat="false" ht="15" hidden="false" customHeight="false" outlineLevel="0" collapsed="false">
      <c r="A6" s="4" t="s">
        <v>19</v>
      </c>
      <c r="B6" s="4" t="n">
        <f aca="false">Finding1_RawData!F37</f>
        <v>15</v>
      </c>
      <c r="C6" s="4"/>
    </row>
    <row r="7" customFormat="false" ht="15" hidden="false" customHeight="false" outlineLevel="0" collapsed="false">
      <c r="A7" s="4" t="s">
        <v>33</v>
      </c>
      <c r="B7" s="4" t="n">
        <f aca="false">Finding1_RawData!C35</f>
        <v>29</v>
      </c>
      <c r="C7" s="4"/>
    </row>
    <row r="9" customFormat="false" ht="15" hidden="false" customHeight="false" outlineLevel="0" collapsed="false">
      <c r="A9" s="4" t="s">
        <v>34</v>
      </c>
      <c r="B9" s="4"/>
      <c r="C9" s="4" t="n">
        <f aca="false">SUMPRODUCT((Finding1_RawData!A5:A33&lt;&gt;"T07")*(Finding1_RawData!E5:E33))</f>
        <v>7</v>
      </c>
    </row>
    <row r="10" customFormat="false" ht="15" hidden="false" customHeight="false" outlineLevel="0" collapsed="false">
      <c r="A10" s="4" t="s">
        <v>35</v>
      </c>
      <c r="B10" s="4"/>
      <c r="C10" s="4" t="n">
        <f aca="false">SUMPRODUCT((Finding1_RawData!A5:A33&lt;&gt;"T07")*(Finding1_RawData!F5:F33))</f>
        <v>8</v>
      </c>
    </row>
    <row r="11" customFormat="false" ht="15" hidden="false" customHeight="false" outlineLevel="0" collapsed="false">
      <c r="A11" s="4" t="s">
        <v>36</v>
      </c>
      <c r="B11" s="4"/>
      <c r="C11" s="4" t="n">
        <f aca="false">SUMPRODUCT((Finding1_RawData!A5:A33&lt;&gt;"T07")*1)</f>
        <v>21</v>
      </c>
    </row>
    <row r="13" customFormat="false" ht="15" hidden="false" customHeight="false" outlineLevel="0" collapsed="false">
      <c r="A13" s="4" t="s">
        <v>20</v>
      </c>
      <c r="B13" s="8" t="n">
        <f aca="false">B5/B7</f>
        <v>0.448275862068966</v>
      </c>
      <c r="C13" s="8" t="n">
        <f aca="false">C9/C11</f>
        <v>0.333333333333333</v>
      </c>
    </row>
    <row r="14" customFormat="false" ht="15" hidden="false" customHeight="false" outlineLevel="0" collapsed="false">
      <c r="A14" s="4" t="s">
        <v>21</v>
      </c>
      <c r="B14" s="8" t="n">
        <f aca="false">B6/B7</f>
        <v>0.517241379310345</v>
      </c>
      <c r="C14" s="8" t="n">
        <f aca="false">C10/C11</f>
        <v>0.380952380952381</v>
      </c>
    </row>
    <row r="16" customFormat="false" ht="15" hidden="false" customHeight="false" outlineLevel="0" collapsed="false">
      <c r="A16" s="4" t="s">
        <v>37</v>
      </c>
      <c r="B16" s="4" t="n">
        <v>1.959964</v>
      </c>
      <c r="C16" s="4"/>
    </row>
    <row r="18" customFormat="false" ht="15" hidden="false" customHeight="false" outlineLevel="0" collapsed="false">
      <c r="A18" s="4" t="s">
        <v>38</v>
      </c>
      <c r="B18" s="8" t="n">
        <f aca="false">(((B5/B7)+$B$16^2/(2*B7))/(1+$B$16^2/B7))-(($B$16*SQRT((B5/B7)*(1-(B5/B7))/B7+$B$16^2/(4*B7^2)))/(1+$B$16^2/B7))</f>
        <v>0.284131679127713</v>
      </c>
      <c r="C18" s="4"/>
    </row>
    <row r="19" customFormat="false" ht="15" hidden="false" customHeight="false" outlineLevel="0" collapsed="false">
      <c r="A19" s="4"/>
      <c r="B19" s="8" t="n">
        <f aca="false">(((B5/B7)+$B$16^2/(2*B7))/(1+$B$16^2/B7))+(($B$16*SQRT((B5/B7)*(1-(B5/B7))/B7+$B$16^2/(4*B7^2)))/(1+$B$16^2/B7))</f>
        <v>0.624520369161513</v>
      </c>
      <c r="C19" s="4"/>
    </row>
    <row r="20" customFormat="false" ht="15" hidden="false" customHeight="false" outlineLevel="0" collapsed="false">
      <c r="A20" s="4" t="s">
        <v>39</v>
      </c>
      <c r="B20" s="8" t="n">
        <f aca="false">(((B6/B7)+$B$16^2/(2*B7))/(1+$B$16^2/B7))-(($B$16*SQRT((B6/B7)*(1-(B6/B7))/B7+$B$16^2/(4*B7^2)))/(1+$B$16^2/B7))</f>
        <v>0.344310217601229</v>
      </c>
      <c r="C20" s="4"/>
    </row>
    <row r="21" customFormat="false" ht="15" hidden="false" customHeight="false" outlineLevel="0" collapsed="false">
      <c r="A21" s="4"/>
      <c r="B21" s="8" t="n">
        <f aca="false">(((B6/B7)+$B$16^2/(2*B7))/(1+$B$16^2/B7))+(($B$16*SQRT((B6/B7)*(1-(B6/B7))/B7+$B$16^2/(4*B7^2)))/(1+$B$16^2/B7))</f>
        <v>0.686139099635695</v>
      </c>
      <c r="C21" s="4"/>
    </row>
    <row r="22" customFormat="false" ht="15" hidden="false" customHeight="false" outlineLevel="0" collapsed="false">
      <c r="A22" s="4" t="s">
        <v>40</v>
      </c>
      <c r="B22" s="4"/>
      <c r="C22" s="8" t="n">
        <f aca="false">(((C9/C11)+$B$16^2/(2*C11))/(1+$B$16^2/C11))-(($B$16*SQRT((C9/C11)*(1-(C9/C11))/C11+$B$16^2/(4*C11^2)))/(1+$B$16^2/C11))</f>
        <v>0.17194752512289</v>
      </c>
    </row>
    <row r="23" customFormat="false" ht="15" hidden="false" customHeight="false" outlineLevel="0" collapsed="false">
      <c r="A23" s="4"/>
      <c r="B23" s="4"/>
      <c r="C23" s="8" t="n">
        <f aca="false">(((C9/C11)+$B$16^2/(2*C11))/(1+$B$16^2/C11))+(($B$16*SQRT((C9/C11)*(1-(C9/C11))/C11+$B$16^2/(4*C11^2)))/(1+$B$16^2/C11))</f>
        <v>0.546265481872825</v>
      </c>
    </row>
    <row r="24" customFormat="false" ht="15" hidden="false" customHeight="false" outlineLevel="0" collapsed="false">
      <c r="A24" s="4" t="s">
        <v>41</v>
      </c>
      <c r="B24" s="4"/>
      <c r="C24" s="8" t="n">
        <f aca="false">(((C10/C11)+$B$16^2/(2*C11))/(1+$B$16^2/C11))-(($B$16*SQRT((C10/C11)*(1-(C10/C11))/C11+$B$16^2/(4*C11^2)))/(1+$B$16^2/C11))</f>
        <v>0.207510112640091</v>
      </c>
    </row>
    <row r="25" customFormat="false" ht="15" hidden="false" customHeight="false" outlineLevel="0" collapsed="false">
      <c r="A25" s="4"/>
      <c r="B25" s="4"/>
      <c r="C25" s="8" t="n">
        <f aca="false">(((C10/C11)+$B$16^2/(2*C11))/(1+$B$16^2/C11))+(($B$16*SQRT((C10/C11)*(1-(C10/C11))/C11+$B$16^2/(4*C11^2)))/(1+$B$16^2/C11))</f>
        <v>0.591213463785419</v>
      </c>
    </row>
    <row r="27" customFormat="false" ht="15" hidden="false" customHeight="false" outlineLevel="0" collapsed="false">
      <c r="A27" s="4" t="s">
        <v>42</v>
      </c>
      <c r="B27" s="4" t="n">
        <f aca="false">Threshold_Sensitivity!H6</f>
        <v>0.6875</v>
      </c>
      <c r="C27" s="4"/>
    </row>
    <row r="28" customFormat="false" ht="15" hidden="false" customHeight="false" outlineLevel="0" collapsed="false">
      <c r="A28" s="4" t="s">
        <v>43</v>
      </c>
      <c r="B28" s="4"/>
      <c r="C28" s="4" t="n">
        <f aca="false">SUMPRODUCT((Finding1_RawData!A5:A33&lt;&gt;"T07")*(Finding1_RawData!C5:C33&lt;=1)*(Finding1_RawData!D5:D33&gt;1))+SUMPRODUCT((Finding1_RawData!A5:A33&lt;&gt;"T07")*(Finding1_RawData!C5:C33&gt;1)*(Finding1_RawData!D5:D33&lt;=1))</f>
        <v>5</v>
      </c>
    </row>
    <row r="29" customFormat="false" ht="15" hidden="false" customHeight="false" outlineLevel="0" collapsed="false">
      <c r="A29" s="4" t="s">
        <v>44</v>
      </c>
      <c r="B29" s="4"/>
      <c r="C29" s="4" t="n">
        <f aca="false">SUMPRODUCT((Finding1_RawData!A5:A33&lt;&gt;"T07")*(Finding1_RawData!C5:C33&lt;=1)*(Finding1_RawData!D5:D33&gt;1))</f>
        <v>3</v>
      </c>
    </row>
    <row r="30" customFormat="false" ht="15" hidden="false" customHeight="false" outlineLevel="0" collapsed="false">
      <c r="A30" s="4" t="s">
        <v>45</v>
      </c>
      <c r="B30" s="4"/>
      <c r="C30" s="4" t="str">
        <f aca="false">IF(D28=0,"n/a",MIN(1,2*BINOMDIST(MIN(D29,D28-D29),D28,0.5,TRUE())))</f>
        <v>n/a</v>
      </c>
    </row>
    <row r="33" customFormat="false" ht="15" hidden="false" customHeight="false" outlineLevel="0" collapsed="false">
      <c r="A33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4" min="4" style="0" width="30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" t="s">
        <v>47</v>
      </c>
    </row>
    <row r="2" customFormat="false" ht="105.95" hidden="false" customHeight="false" outlineLevel="0" collapsed="false">
      <c r="A2" s="9" t="s">
        <v>48</v>
      </c>
    </row>
    <row r="4" customFormat="false" ht="23.85" hidden="false" customHeight="false" outlineLevel="0" collapsed="false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</row>
    <row r="5" customFormat="false" ht="15" hidden="false" customHeight="false" outlineLevel="0" collapsed="false">
      <c r="A5" s="4" t="s">
        <v>55</v>
      </c>
      <c r="B5" s="4" t="s">
        <v>56</v>
      </c>
      <c r="C5" s="4" t="s">
        <v>57</v>
      </c>
      <c r="D5" s="4" t="s">
        <v>58</v>
      </c>
      <c r="E5" s="4" t="s">
        <v>59</v>
      </c>
      <c r="F5" s="4" t="s">
        <v>60</v>
      </c>
    </row>
    <row r="6" customFormat="false" ht="15" hidden="false" customHeight="false" outlineLevel="0" collapsed="false">
      <c r="A6" s="4" t="s">
        <v>61</v>
      </c>
      <c r="B6" s="4" t="s">
        <v>56</v>
      </c>
      <c r="C6" s="4" t="s">
        <v>57</v>
      </c>
      <c r="D6" s="4" t="s">
        <v>57</v>
      </c>
      <c r="E6" s="4" t="s">
        <v>59</v>
      </c>
      <c r="F6" s="4" t="s">
        <v>60</v>
      </c>
    </row>
    <row r="7" customFormat="false" ht="15" hidden="false" customHeight="false" outlineLevel="0" collapsed="false">
      <c r="A7" s="4" t="s">
        <v>62</v>
      </c>
      <c r="B7" s="4" t="s">
        <v>56</v>
      </c>
      <c r="C7" s="4" t="s">
        <v>63</v>
      </c>
      <c r="D7" s="4" t="s">
        <v>57</v>
      </c>
      <c r="E7" s="4" t="s">
        <v>64</v>
      </c>
      <c r="F7" s="4" t="s">
        <v>65</v>
      </c>
    </row>
    <row r="8" customFormat="false" ht="15" hidden="false" customHeight="false" outlineLevel="0" collapsed="false">
      <c r="A8" s="4" t="s">
        <v>66</v>
      </c>
      <c r="B8" s="4" t="s">
        <v>56</v>
      </c>
      <c r="C8" s="4" t="s">
        <v>67</v>
      </c>
      <c r="D8" s="4" t="s">
        <v>57</v>
      </c>
      <c r="E8" s="4" t="s">
        <v>68</v>
      </c>
      <c r="F8" s="4" t="s">
        <v>69</v>
      </c>
    </row>
    <row r="9" customFormat="false" ht="15" hidden="false" customHeight="false" outlineLevel="0" collapsed="false">
      <c r="A9" s="4" t="s">
        <v>70</v>
      </c>
      <c r="B9" s="4" t="s">
        <v>71</v>
      </c>
      <c r="C9" s="4" t="s">
        <v>67</v>
      </c>
      <c r="D9" s="4" t="s">
        <v>57</v>
      </c>
      <c r="E9" s="4" t="s">
        <v>68</v>
      </c>
      <c r="F9" s="4" t="s">
        <v>72</v>
      </c>
    </row>
    <row r="10" customFormat="false" ht="15" hidden="false" customHeight="false" outlineLevel="0" collapsed="false">
      <c r="A10" s="4" t="s">
        <v>73</v>
      </c>
      <c r="B10" s="4" t="s">
        <v>71</v>
      </c>
      <c r="C10" s="4" t="s">
        <v>67</v>
      </c>
      <c r="D10" s="4" t="s">
        <v>74</v>
      </c>
      <c r="E10" s="4" t="s">
        <v>69</v>
      </c>
      <c r="F10" s="4" t="s">
        <v>75</v>
      </c>
    </row>
    <row r="12" customFormat="false" ht="22.35" hidden="false" customHeight="true" outlineLevel="0" collapsed="false">
      <c r="A12" s="10" t="s">
        <v>76</v>
      </c>
      <c r="B12" s="10"/>
      <c r="C12" s="10"/>
      <c r="D12" s="10"/>
      <c r="E12" s="10"/>
      <c r="F12" s="10"/>
    </row>
  </sheetData>
  <mergeCells count="1"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2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77</v>
      </c>
    </row>
    <row r="3" customFormat="false" ht="23.85" hidden="false" customHeight="false" outlineLevel="0" collapsed="false">
      <c r="A3" s="3" t="s">
        <v>2</v>
      </c>
      <c r="B3" s="3" t="s">
        <v>78</v>
      </c>
      <c r="C3" s="3" t="s">
        <v>79</v>
      </c>
      <c r="D3" s="3" t="s">
        <v>80</v>
      </c>
      <c r="E3" s="3" t="s">
        <v>81</v>
      </c>
    </row>
    <row r="4" customFormat="false" ht="15" hidden="false" customHeight="false" outlineLevel="0" collapsed="false">
      <c r="A4" s="4" t="s">
        <v>8</v>
      </c>
      <c r="B4" s="11" t="n">
        <v>0.107</v>
      </c>
      <c r="C4" s="4" t="s">
        <v>82</v>
      </c>
      <c r="D4" s="4" t="n">
        <v>50</v>
      </c>
      <c r="E4" s="4" t="s">
        <v>83</v>
      </c>
    </row>
    <row r="5" customFormat="false" ht="15" hidden="false" customHeight="false" outlineLevel="0" collapsed="false">
      <c r="A5" s="4" t="s">
        <v>11</v>
      </c>
      <c r="B5" s="11" t="n">
        <v>0.108</v>
      </c>
      <c r="C5" s="4" t="s">
        <v>82</v>
      </c>
      <c r="D5" s="4" t="n">
        <v>50</v>
      </c>
      <c r="E5" s="4" t="s">
        <v>84</v>
      </c>
    </row>
    <row r="6" customFormat="false" ht="15" hidden="false" customHeight="false" outlineLevel="0" collapsed="false">
      <c r="A6" s="4" t="s">
        <v>10</v>
      </c>
      <c r="B6" s="11" t="n">
        <v>0.117</v>
      </c>
      <c r="C6" s="4" t="s">
        <v>82</v>
      </c>
      <c r="D6" s="4" t="n">
        <v>50</v>
      </c>
      <c r="E6" s="4" t="s">
        <v>83</v>
      </c>
    </row>
    <row r="7" customFormat="false" ht="15" hidden="false" customHeight="false" outlineLevel="0" collapsed="false">
      <c r="A7" s="4" t="s">
        <v>85</v>
      </c>
      <c r="B7" s="11" t="n">
        <v>0.075</v>
      </c>
      <c r="C7" s="4" t="s">
        <v>82</v>
      </c>
      <c r="D7" s="4" t="n">
        <v>50</v>
      </c>
      <c r="E7" s="4" t="s">
        <v>86</v>
      </c>
    </row>
    <row r="8" customFormat="false" ht="15" hidden="false" customHeight="false" outlineLevel="0" collapsed="false">
      <c r="A8" s="4" t="s">
        <v>16</v>
      </c>
      <c r="B8" s="11" t="n">
        <v>0.089</v>
      </c>
      <c r="C8" s="4" t="s">
        <v>82</v>
      </c>
      <c r="D8" s="4" t="n">
        <v>50</v>
      </c>
      <c r="E8" s="4" t="s">
        <v>83</v>
      </c>
    </row>
    <row r="9" customFormat="false" ht="15" hidden="false" customHeight="false" outlineLevel="0" collapsed="false">
      <c r="A9" s="4" t="s">
        <v>15</v>
      </c>
      <c r="B9" s="11" t="n">
        <v>0.046</v>
      </c>
      <c r="C9" s="4" t="s">
        <v>82</v>
      </c>
      <c r="D9" s="4" t="n">
        <v>50</v>
      </c>
      <c r="E9" s="4" t="s">
        <v>87</v>
      </c>
    </row>
    <row r="10" customFormat="false" ht="15" hidden="false" customHeight="false" outlineLevel="0" collapsed="false">
      <c r="A10" s="4" t="s">
        <v>12</v>
      </c>
      <c r="B10" s="11" t="n">
        <v>0.133</v>
      </c>
      <c r="C10" s="4" t="n">
        <v>70</v>
      </c>
      <c r="D10" s="4" t="n">
        <v>70</v>
      </c>
      <c r="E10" s="4" t="s">
        <v>88</v>
      </c>
    </row>
    <row r="11" customFormat="false" ht="15" hidden="false" customHeight="false" outlineLevel="0" collapsed="false">
      <c r="A11" s="4" t="s">
        <v>14</v>
      </c>
      <c r="B11" s="11" t="n">
        <v>0.215</v>
      </c>
      <c r="C11" s="4" t="n">
        <v>80</v>
      </c>
      <c r="D11" s="4" t="n">
        <v>80</v>
      </c>
      <c r="E11" s="4" t="s">
        <v>88</v>
      </c>
    </row>
    <row r="12" customFormat="false" ht="15" hidden="false" customHeight="false" outlineLevel="0" collapsed="false">
      <c r="A12" s="4" t="s">
        <v>9</v>
      </c>
      <c r="B12" s="11" t="n">
        <v>0.192</v>
      </c>
      <c r="C12" s="4" t="n">
        <v>90</v>
      </c>
      <c r="D12" s="4" t="n">
        <v>90</v>
      </c>
      <c r="E12" s="4" t="s">
        <v>88</v>
      </c>
    </row>
    <row r="13" customFormat="false" ht="15" hidden="false" customHeight="false" outlineLevel="0" collapsed="false">
      <c r="A13" s="4" t="s">
        <v>13</v>
      </c>
      <c r="B13" s="11" t="n">
        <v>0.174</v>
      </c>
      <c r="C13" s="4" t="n">
        <v>90</v>
      </c>
      <c r="D13" s="4" t="n">
        <v>90</v>
      </c>
      <c r="E13" s="4" t="s">
        <v>89</v>
      </c>
    </row>
    <row r="14" customFormat="false" ht="15" hidden="false" customHeight="false" outlineLevel="0" collapsed="false">
      <c r="A14" s="4" t="s">
        <v>90</v>
      </c>
      <c r="B14" s="4"/>
      <c r="C14" s="4" t="s">
        <v>91</v>
      </c>
      <c r="D14" s="4" t="s">
        <v>91</v>
      </c>
      <c r="E14" s="4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93</v>
      </c>
    </row>
    <row r="3" customFormat="false" ht="23.85" hidden="false" customHeight="false" outlineLevel="0" collapsed="false">
      <c r="A3" s="3" t="s">
        <v>2</v>
      </c>
      <c r="B3" s="3" t="s">
        <v>94</v>
      </c>
      <c r="C3" s="3" t="s">
        <v>95</v>
      </c>
    </row>
    <row r="4" customFormat="false" ht="15" hidden="false" customHeight="false" outlineLevel="0" collapsed="false">
      <c r="A4" s="4" t="s">
        <v>96</v>
      </c>
      <c r="B4" s="4" t="n">
        <v>2</v>
      </c>
      <c r="C4" s="4" t="s">
        <v>97</v>
      </c>
    </row>
    <row r="5" customFormat="false" ht="15" hidden="false" customHeight="false" outlineLevel="0" collapsed="false">
      <c r="A5" s="4" t="s">
        <v>8</v>
      </c>
      <c r="B5" s="4" t="n">
        <v>0</v>
      </c>
      <c r="C5" s="4" t="s">
        <v>98</v>
      </c>
    </row>
    <row r="6" customFormat="false" ht="15" hidden="false" customHeight="false" outlineLevel="0" collapsed="false">
      <c r="A6" s="4" t="s">
        <v>9</v>
      </c>
      <c r="B6" s="4" t="n">
        <v>7</v>
      </c>
      <c r="C6" s="4" t="s">
        <v>97</v>
      </c>
    </row>
    <row r="7" customFormat="false" ht="15" hidden="false" customHeight="false" outlineLevel="0" collapsed="false">
      <c r="A7" s="4" t="s">
        <v>10</v>
      </c>
      <c r="B7" s="4" t="n">
        <v>4</v>
      </c>
      <c r="C7" s="4" t="s">
        <v>97</v>
      </c>
    </row>
    <row r="8" customFormat="false" ht="15" hidden="false" customHeight="false" outlineLevel="0" collapsed="false">
      <c r="A8" s="4" t="s">
        <v>11</v>
      </c>
      <c r="B8" s="4" t="n">
        <v>2</v>
      </c>
      <c r="C8" s="4" t="s">
        <v>97</v>
      </c>
    </row>
    <row r="9" customFormat="false" ht="15" hidden="false" customHeight="false" outlineLevel="0" collapsed="false">
      <c r="A9" s="4" t="s">
        <v>12</v>
      </c>
      <c r="B9" s="4" t="n">
        <v>2</v>
      </c>
      <c r="C9" s="4" t="s">
        <v>99</v>
      </c>
    </row>
    <row r="10" customFormat="false" ht="15" hidden="false" customHeight="false" outlineLevel="0" collapsed="false">
      <c r="A10" s="4" t="s">
        <v>13</v>
      </c>
      <c r="B10" s="4" t="n">
        <v>0</v>
      </c>
      <c r="C10" s="4" t="s">
        <v>100</v>
      </c>
    </row>
    <row r="11" customFormat="false" ht="15" hidden="false" customHeight="false" outlineLevel="0" collapsed="false">
      <c r="A11" s="4" t="s">
        <v>90</v>
      </c>
      <c r="B11" s="4" t="n">
        <v>0</v>
      </c>
      <c r="C11" s="4" t="s">
        <v>100</v>
      </c>
    </row>
    <row r="12" customFormat="false" ht="15" hidden="false" customHeight="false" outlineLevel="0" collapsed="false">
      <c r="A12" s="4" t="s">
        <v>14</v>
      </c>
      <c r="B12" s="4" t="n">
        <v>0</v>
      </c>
      <c r="C12" s="4" t="s">
        <v>100</v>
      </c>
    </row>
    <row r="13" customFormat="false" ht="15" hidden="false" customHeight="false" outlineLevel="0" collapsed="false">
      <c r="A13" s="4" t="s">
        <v>15</v>
      </c>
      <c r="B13" s="4" t="n">
        <v>2</v>
      </c>
      <c r="C13" s="4" t="s">
        <v>97</v>
      </c>
    </row>
    <row r="14" customFormat="false" ht="15" hidden="false" customHeight="false" outlineLevel="0" collapsed="false">
      <c r="A14" s="4" t="s">
        <v>85</v>
      </c>
      <c r="B14" s="4" t="n">
        <v>6</v>
      </c>
      <c r="C14" s="4" t="s">
        <v>101</v>
      </c>
    </row>
    <row r="15" customFormat="false" ht="15" hidden="false" customHeight="false" outlineLevel="0" collapsed="false">
      <c r="A15" s="4" t="s">
        <v>102</v>
      </c>
      <c r="B15" s="4" t="n">
        <v>0</v>
      </c>
      <c r="C15" s="4" t="s">
        <v>100</v>
      </c>
    </row>
    <row r="17" customFormat="false" ht="15" hidden="false" customHeight="false" outlineLevel="0" collapsed="false">
      <c r="A17" s="2" t="str">
        <f aca="false">COUNTIF(C4:C15,"Yes*")&amp;" of 12 targets required a real topology correction before their first generation run."</f>
        <v>7 of 12 targets required a real topology correction before their first generation run.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103</v>
      </c>
    </row>
    <row r="3" customFormat="false" ht="23.85" hidden="false" customHeight="false" outlineLevel="0" collapsed="false">
      <c r="A3" s="3" t="s">
        <v>2</v>
      </c>
      <c r="B3" s="3" t="s">
        <v>104</v>
      </c>
      <c r="C3" s="3" t="s">
        <v>105</v>
      </c>
      <c r="D3" s="3" t="s">
        <v>106</v>
      </c>
      <c r="E3" s="3" t="s">
        <v>107</v>
      </c>
    </row>
    <row r="4" customFormat="false" ht="15" hidden="false" customHeight="false" outlineLevel="0" collapsed="false">
      <c r="A4" s="4" t="s">
        <v>108</v>
      </c>
      <c r="B4" s="4" t="s">
        <v>109</v>
      </c>
      <c r="C4" s="4" t="s">
        <v>12</v>
      </c>
      <c r="D4" s="4" t="s">
        <v>97</v>
      </c>
      <c r="E4" s="4"/>
    </row>
    <row r="5" customFormat="false" ht="15" hidden="false" customHeight="false" outlineLevel="0" collapsed="false">
      <c r="A5" s="4" t="s">
        <v>13</v>
      </c>
      <c r="B5" s="4" t="s">
        <v>110</v>
      </c>
      <c r="C5" s="4" t="s">
        <v>111</v>
      </c>
      <c r="D5" s="4" t="s">
        <v>97</v>
      </c>
      <c r="E5" s="4"/>
    </row>
    <row r="6" customFormat="false" ht="15" hidden="false" customHeight="false" outlineLevel="0" collapsed="false">
      <c r="A6" s="4" t="s">
        <v>112</v>
      </c>
      <c r="B6" s="4" t="s">
        <v>113</v>
      </c>
      <c r="C6" s="4" t="s">
        <v>8</v>
      </c>
      <c r="D6" s="4" t="s">
        <v>97</v>
      </c>
      <c r="E6" s="4"/>
    </row>
    <row r="7" customFormat="false" ht="15" hidden="false" customHeight="false" outlineLevel="0" collapsed="false">
      <c r="A7" s="4" t="s">
        <v>90</v>
      </c>
      <c r="B7" s="4" t="s">
        <v>114</v>
      </c>
      <c r="C7" s="4" t="s">
        <v>115</v>
      </c>
      <c r="D7" s="4" t="s">
        <v>100</v>
      </c>
      <c r="E7" s="4" t="s">
        <v>116</v>
      </c>
    </row>
    <row r="8" customFormat="false" ht="15" hidden="false" customHeight="false" outlineLevel="0" collapsed="false">
      <c r="A8" s="4" t="s">
        <v>117</v>
      </c>
      <c r="B8" s="4" t="s">
        <v>118</v>
      </c>
      <c r="C8" s="4" t="s">
        <v>9</v>
      </c>
      <c r="D8" s="4" t="s">
        <v>97</v>
      </c>
      <c r="E8" s="4"/>
    </row>
    <row r="9" customFormat="false" ht="15" hidden="false" customHeight="false" outlineLevel="0" collapsed="false">
      <c r="A9" s="4" t="s">
        <v>14</v>
      </c>
      <c r="B9" s="4" t="s">
        <v>119</v>
      </c>
      <c r="C9" s="4" t="s">
        <v>120</v>
      </c>
      <c r="D9" s="4" t="s">
        <v>97</v>
      </c>
      <c r="E9" s="4"/>
    </row>
    <row r="10" customFormat="false" ht="15" hidden="false" customHeight="false" outlineLevel="0" collapsed="false">
      <c r="A10" s="4" t="s">
        <v>15</v>
      </c>
      <c r="B10" s="4" t="s">
        <v>121</v>
      </c>
      <c r="C10" s="4" t="s">
        <v>122</v>
      </c>
      <c r="D10" s="4" t="s">
        <v>97</v>
      </c>
      <c r="E10" s="4"/>
    </row>
    <row r="11" customFormat="false" ht="15" hidden="false" customHeight="false" outlineLevel="0" collapsed="false">
      <c r="A11" s="4" t="s">
        <v>85</v>
      </c>
      <c r="B11" s="4" t="s">
        <v>123</v>
      </c>
      <c r="C11" s="4" t="s">
        <v>124</v>
      </c>
      <c r="D11" s="4" t="s">
        <v>100</v>
      </c>
      <c r="E11" s="4" t="s">
        <v>125</v>
      </c>
    </row>
    <row r="12" customFormat="false" ht="15" hidden="false" customHeight="false" outlineLevel="0" collapsed="false">
      <c r="A12" s="4" t="s">
        <v>126</v>
      </c>
      <c r="B12" s="4" t="s">
        <v>127</v>
      </c>
      <c r="C12" s="4" t="s">
        <v>11</v>
      </c>
      <c r="D12" s="4" t="s">
        <v>97</v>
      </c>
      <c r="E12" s="4"/>
    </row>
    <row r="13" customFormat="false" ht="15" hidden="false" customHeight="false" outlineLevel="0" collapsed="false">
      <c r="A13" s="4" t="s">
        <v>128</v>
      </c>
      <c r="B13" s="4" t="s">
        <v>129</v>
      </c>
      <c r="C13" s="4" t="s">
        <v>10</v>
      </c>
      <c r="D13" s="4" t="s">
        <v>97</v>
      </c>
      <c r="E13" s="4"/>
    </row>
    <row r="14" customFormat="false" ht="15" hidden="false" customHeight="false" outlineLevel="0" collapsed="false">
      <c r="A14" s="4" t="s">
        <v>130</v>
      </c>
      <c r="B14" s="4" t="s">
        <v>131</v>
      </c>
      <c r="C14" s="4" t="s">
        <v>132</v>
      </c>
      <c r="D14" s="4" t="s">
        <v>100</v>
      </c>
      <c r="E14" s="4" t="s">
        <v>133</v>
      </c>
    </row>
    <row r="15" customFormat="false" ht="15" hidden="false" customHeight="false" outlineLevel="0" collapsed="false">
      <c r="A15" s="4" t="s">
        <v>134</v>
      </c>
      <c r="B15" s="4" t="s">
        <v>135</v>
      </c>
      <c r="C15" s="4" t="s">
        <v>136</v>
      </c>
      <c r="D15" s="4" t="s">
        <v>100</v>
      </c>
      <c r="E15" s="4" t="s">
        <v>137</v>
      </c>
    </row>
    <row r="16" customFormat="false" ht="15" hidden="false" customHeight="false" outlineLevel="0" collapsed="false">
      <c r="A16" s="4" t="s">
        <v>138</v>
      </c>
      <c r="B16" s="4" t="s">
        <v>139</v>
      </c>
      <c r="C16" s="4" t="s">
        <v>140</v>
      </c>
      <c r="D16" s="4" t="s">
        <v>100</v>
      </c>
      <c r="E16" s="4" t="s">
        <v>133</v>
      </c>
    </row>
    <row r="17" customFormat="false" ht="15" hidden="false" customHeight="false" outlineLevel="0" collapsed="false">
      <c r="A17" s="4" t="s">
        <v>141</v>
      </c>
      <c r="B17" s="4" t="s">
        <v>16</v>
      </c>
      <c r="C17" s="4" t="s">
        <v>142</v>
      </c>
      <c r="D17" s="4" t="s">
        <v>97</v>
      </c>
      <c r="E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2026-09-25T01:39:43Z</dcterms:created>
  <dc:creator>openpyxl</dc:creator>
  <dc:description/>
  <dc:language>en-US</dc:language>
  <cp:lastModifiedBy/>
  <dcterms:modified xsi:type="dcterms:W3CDTF">2026-09-25T01:39:43Z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